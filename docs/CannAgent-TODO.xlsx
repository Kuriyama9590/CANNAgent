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TODO总表" sheetId="2" state="visible" r:id="rId2"/>
    <sheet xmlns:r="http://schemas.openxmlformats.org/officeDocument/2006/relationships" name="决策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"/>
  </numFmts>
  <fonts count="10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7D46"/>
      <sz val="11"/>
    </font>
    <font>
      <name val="Noto Sans SC"/>
      <color rgb="00D4820A"/>
      <sz val="11"/>
    </font>
    <font>
      <name val="Noto Sans SC"/>
      <color rgb="00C0392B"/>
      <sz val="11"/>
    </font>
    <font>
      <name val="Noto Sans SC"/>
      <color rgb="008C8A84"/>
      <sz val="11"/>
    </font>
    <font>
      <name val="Noto Sans SC"/>
      <color rgb="001B2A4A"/>
      <sz val="11"/>
    </font>
    <font>
      <name val="Noto Sans SC"/>
      <color rgb="008C8A84"/>
      <sz val="9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7F7F5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164" fontId="3" fillId="3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 wrapText="1"/>
    </xf>
    <xf numFmtId="164" fontId="3" fillId="5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8" fillId="8" borderId="2" pivotButton="0" quotePrefix="0" xfId="0"/>
    <xf numFmtId="164" fontId="8" fillId="8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36.5" customWidth="1" min="3" max="3"/>
    <col width="25.3" customWidth="1" min="4" max="4"/>
  </cols>
  <sheetData>
    <row r="1" ht="15" customHeight="1"/>
    <row r="2" ht="32" customHeight="1">
      <c r="B2" s="1" t="inlineStr">
        <is>
          <t>CannAgent 项目 TODO 总览</t>
        </is>
      </c>
    </row>
    <row r="3" ht="8" customHeight="1"/>
    <row r="4" ht="28" customHeight="1">
      <c r="B4" s="2" t="inlineStr">
        <is>
          <t>指标</t>
        </is>
      </c>
      <c r="C4" s="2" t="inlineStr">
        <is>
          <t>数值</t>
        </is>
      </c>
      <c r="D4" s="2" t="inlineStr">
        <is>
          <t>说明</t>
        </is>
      </c>
    </row>
    <row r="5" ht="22" customHeight="1">
      <c r="B5" s="3" t="inlineStr">
        <is>
          <t>任务总数</t>
        </is>
      </c>
      <c r="C5" s="4">
        <f>COUNTA('TODO总表'!B5:B37)</f>
        <v/>
      </c>
      <c r="D5" s="3" t="inlineStr">
        <is>
          <t>四个阶段合计</t>
        </is>
      </c>
    </row>
    <row r="6" ht="22" customHeight="1">
      <c r="B6" s="5" t="inlineStr">
        <is>
          <t>已完成</t>
        </is>
      </c>
      <c r="C6" s="6">
        <f>COUNTIF('TODO总表'!G5:G37,"已完成")</f>
        <v/>
      </c>
      <c r="D6" s="5" t="inlineStr">
        <is>
          <t>阶段① demo 主体已交付</t>
        </is>
      </c>
    </row>
    <row r="7" ht="38" customHeight="1">
      <c r="B7" s="3" t="inlineStr">
        <is>
          <t>进行中</t>
        </is>
      </c>
      <c r="C7" s="4">
        <f>COUNTIF('TODO总表'!G5:G37,"进行中")</f>
        <v/>
      </c>
      <c r="D7" s="3" t="inlineStr">
        <is>
          <t>A6 布局与交互评审（grill）</t>
        </is>
      </c>
    </row>
    <row r="8" ht="22" customHeight="1">
      <c r="B8" s="5" t="inlineStr">
        <is>
          <t>待启动</t>
        </is>
      </c>
      <c r="C8" s="6">
        <f>COUNTIF('TODO总表'!G5:G37,"待启动")</f>
        <v/>
      </c>
      <c r="D8" s="5" t="inlineStr">
        <is>
          <t>规范/骨架/测试部署主体</t>
        </is>
      </c>
    </row>
    <row r="9" ht="22" customHeight="1">
      <c r="B9" s="3" t="inlineStr">
        <is>
          <t>待讨论（阻塞）</t>
        </is>
      </c>
      <c r="C9" s="4">
        <f>COUNTIF('TODO总表'!G5:G37,"待讨论")</f>
        <v/>
      </c>
      <c r="D9" s="3" t="inlineStr">
        <is>
          <t>阻塞于对应决策项</t>
        </is>
      </c>
    </row>
    <row r="10" ht="22" customHeight="1">
      <c r="B10" s="5" t="inlineStr">
        <is>
          <t>P0 任务数</t>
        </is>
      </c>
      <c r="C10" s="6">
        <f>COUNTIF('TODO总表'!F5:F37,"P0")</f>
        <v/>
      </c>
      <c r="D10" s="5" t="inlineStr">
        <is>
          <t>关键路径任务</t>
        </is>
      </c>
    </row>
    <row r="11" ht="22" customHeight="1">
      <c r="B11" s="3" t="inlineStr">
        <is>
          <t>剩余预估人日</t>
        </is>
      </c>
      <c r="C11" s="4">
        <f>SUM('TODO总表'!H5:H37)</f>
        <v/>
      </c>
      <c r="D11" s="3" t="inlineStr">
        <is>
          <t>仅未完成任务</t>
        </is>
      </c>
    </row>
    <row r="12" ht="22" customHeight="1">
      <c r="B12" s="5" t="inlineStr">
        <is>
          <t>待拍板决策数</t>
        </is>
      </c>
      <c r="C12" s="6">
        <f>COUNTIF('决策项'!G5:G15,"待拍板")</f>
        <v/>
      </c>
      <c r="D12" s="5" t="inlineStr">
        <is>
          <t>详见“决策项”表</t>
        </is>
      </c>
    </row>
    <row r="13" ht="22" customHeight="1"/>
    <row r="14" ht="22" customHeight="1"/>
    <row r="15" ht="22" customHeight="1">
      <c r="B15" s="7" t="inlineStr">
        <is>
          <t>· 关键路径：C1 dsh headless spike → C2 事件拦截 spike → C3/C4 骨架 → C5 build 工具端到端打通</t>
        </is>
      </c>
    </row>
    <row r="16" ht="22" customHeight="1">
      <c r="B16" s="7" t="inlineStr">
        <is>
          <t>· 决策解锁：D1/D3→B5；D4→B4/E2；D5→B7/C6；D8→C11；D10→E3；D11→A7/C8</t>
        </is>
      </c>
    </row>
    <row r="17" ht="22" customHeight="1">
      <c r="B17" s="7" t="inlineStr">
        <is>
          <t>· 安全速赢：E5 敏感信息迁出（环境.txt 明文密码），建议立即执行</t>
        </is>
      </c>
    </row>
    <row r="18" ht="22" customHeight="1">
      <c r="B18" s="7" t="inlineStr">
        <is>
          <t>· 来源：docs/ROADMAP.md（2026-09-15 规划讨论收敛）+ 前端 demo 评审现场</t>
        </is>
      </c>
    </row>
  </sheetData>
  <mergeCells count="1"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2.5" customWidth="1" min="3" max="3"/>
    <col width="33.89999999999999" customWidth="1" min="4" max="4"/>
    <col width="34" customWidth="1" min="5" max="5"/>
    <col width="8" customWidth="1" min="6" max="6"/>
    <col width="8" customWidth="1" min="7" max="7"/>
    <col width="14" customWidth="1" min="8" max="8"/>
    <col width="8" customWidth="1" min="9" max="9"/>
    <col width="34" customWidth="1" min="10" max="10"/>
  </cols>
  <sheetData>
    <row r="1" ht="15" customHeight="1"/>
    <row r="2" ht="32" customHeight="1">
      <c r="B2" s="1" t="inlineStr">
        <is>
          <t>CannAgent 项目 TODO 总表（更新：2026-09-15）</t>
        </is>
      </c>
    </row>
    <row r="3" ht="8" customHeight="1"/>
    <row r="4" ht="28" customHeight="1">
      <c r="B4" s="2" t="inlineStr">
        <is>
          <t>编号</t>
        </is>
      </c>
      <c r="C4" s="2" t="inlineStr">
        <is>
          <t>阶段</t>
        </is>
      </c>
      <c r="D4" s="2" t="inlineStr">
        <is>
          <t>任务</t>
        </is>
      </c>
      <c r="E4" s="2" t="inlineStr">
        <is>
          <t>描述 / 验收标准</t>
        </is>
      </c>
      <c r="F4" s="2" t="inlineStr">
        <is>
          <t>优先级</t>
        </is>
      </c>
      <c r="G4" s="2" t="inlineStr">
        <is>
          <t>状态</t>
        </is>
      </c>
      <c r="H4" s="2" t="inlineStr">
        <is>
          <t>预估(人日)</t>
        </is>
      </c>
      <c r="I4" s="2" t="inlineStr">
        <is>
          <t>依赖</t>
        </is>
      </c>
      <c r="J4" s="2" t="inlineStr">
        <is>
          <t>备注</t>
        </is>
      </c>
    </row>
    <row r="5" ht="54" customHeight="1">
      <c r="B5" s="8" t="inlineStr">
        <is>
          <t>A1</t>
        </is>
      </c>
      <c r="C5" s="3" t="inlineStr">
        <is>
          <t>① 前端 Demo</t>
        </is>
      </c>
      <c r="D5" s="3" t="inlineStr">
        <is>
          <t>仪表盘 + 三栏详情页布局 v1</t>
        </is>
      </c>
      <c r="E5" s="3" t="inlineStr">
        <is>
          <t>统计条、run 卡片、管道图/时间线/检视面板三栏；Vite+React+TS+AntD+ECharts</t>
        </is>
      </c>
      <c r="F5" s="9" t="inlineStr">
        <is>
          <t>P1</t>
        </is>
      </c>
      <c r="G5" s="10" t="inlineStr">
        <is>
          <t>已完成</t>
        </is>
      </c>
      <c r="H5" s="4" t="n"/>
      <c r="I5" s="3" t="inlineStr">
        <is>
          <t>-</t>
        </is>
      </c>
      <c r="J5" s="3" t="inlineStr">
        <is>
          <t>web-demo/ 已交付</t>
        </is>
      </c>
    </row>
    <row r="6" ht="54" customHeight="1">
      <c r="B6" s="11" t="inlineStr">
        <is>
          <t>A2</t>
        </is>
      </c>
      <c r="C6" s="5" t="inlineStr">
        <is>
          <t>① 前端 Demo</t>
        </is>
      </c>
      <c r="D6" s="5" t="inlineStr">
        <is>
          <t>三套模拟剧本</t>
        </is>
      </c>
      <c r="E6" s="5" t="inlineStr">
        <is>
          <t>resnet50 全流程直播（含 3 轮迭代修复/+6.2%）、swinv2 已完成（+5.1%）、Conv3x3 降级态</t>
        </is>
      </c>
      <c r="F6" s="12" t="inlineStr">
        <is>
          <t>P0</t>
        </is>
      </c>
      <c r="G6" s="10" t="inlineStr">
        <is>
          <t>已完成</t>
        </is>
      </c>
      <c r="H6" s="6" t="n"/>
      <c r="I6" s="5" t="inlineStr">
        <is>
          <t>-</t>
        </is>
      </c>
      <c r="J6" s="5" t="inlineStr">
        <is>
          <t>Event Schema 与 observability 契约同构</t>
        </is>
      </c>
    </row>
    <row r="7" ht="38" customHeight="1">
      <c r="B7" s="8" t="inlineStr">
        <is>
          <t>A3</t>
        </is>
      </c>
      <c r="C7" s="3" t="inlineStr">
        <is>
          <t>① 前端 Demo</t>
        </is>
      </c>
      <c r="D7" s="3" t="inlineStr">
        <is>
          <t>直播/回放/倍速模拟引擎</t>
        </is>
      </c>
      <c r="E7" s="3" t="inlineStr">
        <is>
          <t>虚拟时钟推进、SSE 同构事件流、1×–300× 倍速、时间轴拖动回放、断点续播</t>
        </is>
      </c>
      <c r="F7" s="13" t="inlineStr">
        <is>
          <t>P0</t>
        </is>
      </c>
      <c r="G7" s="10" t="inlineStr">
        <is>
          <t>已完成</t>
        </is>
      </c>
      <c r="H7" s="4" t="n"/>
      <c r="I7" s="3" t="inlineStr">
        <is>
          <t>-</t>
        </is>
      </c>
      <c r="J7" s="3" t="inlineStr"/>
    </row>
    <row r="8" ht="38" customHeight="1">
      <c r="B8" s="11" t="inlineStr">
        <is>
          <t>A4</t>
        </is>
      </c>
      <c r="C8" s="5" t="inlineStr">
        <is>
          <t>① 前端 Demo</t>
        </is>
      </c>
      <c r="D8" s="5" t="inlineStr">
        <is>
          <t>明暗双主题</t>
        </is>
      </c>
      <c r="E8" s="5" t="inlineStr">
        <is>
          <t>AntD 主题算法切换 + ECharts 随主题重绘，localStorage 持久化</t>
        </is>
      </c>
      <c r="F8" s="14" t="inlineStr">
        <is>
          <t>P2</t>
        </is>
      </c>
      <c r="G8" s="10" t="inlineStr">
        <is>
          <t>已完成</t>
        </is>
      </c>
      <c r="H8" s="6" t="n"/>
      <c r="I8" s="5" t="inlineStr">
        <is>
          <t>-</t>
        </is>
      </c>
      <c r="J8" s="5" t="inlineStr"/>
    </row>
    <row r="9" ht="54" customHeight="1">
      <c r="B9" s="8" t="inlineStr">
        <is>
          <t>A5</t>
        </is>
      </c>
      <c r="C9" s="3" t="inlineStr">
        <is>
          <t>① 前端 Demo</t>
        </is>
      </c>
      <c r="D9" s="3" t="inlineStr">
        <is>
          <t>全流程浏览器自测</t>
        </is>
      </c>
      <c r="E9" s="3" t="inlineStr">
        <is>
          <t>直播推进/完成通知/降级通知/产物跳转/diff 渲染/双主题视觉逐项验证；修复页签溢出</t>
        </is>
      </c>
      <c r="F9" s="9" t="inlineStr">
        <is>
          <t>P1</t>
        </is>
      </c>
      <c r="G9" s="10" t="inlineStr">
        <is>
          <t>已完成</t>
        </is>
      </c>
      <c r="H9" s="4" t="n"/>
      <c r="I9" s="3" t="inlineStr">
        <is>
          <t>-</t>
        </is>
      </c>
      <c r="J9" s="3" t="inlineStr">
        <is>
          <t>dev server :5173</t>
        </is>
      </c>
    </row>
    <row r="10" ht="54" customHeight="1">
      <c r="B10" s="11" t="inlineStr">
        <is>
          <t>A6</t>
        </is>
      </c>
      <c r="C10" s="5" t="inlineStr">
        <is>
          <t>① 前端 Demo</t>
        </is>
      </c>
      <c r="D10" s="5" t="inlineStr">
        <is>
          <t>布局与交互逐项评审</t>
        </is>
      </c>
      <c r="E10" s="5" t="inlineStr">
        <is>
          <t>用户对 demo 逐项 grill：布局形态/信息密度/时间线粒度/页签结构/倍速档位</t>
        </is>
      </c>
      <c r="F10" s="12" t="inlineStr">
        <is>
          <t>P0</t>
        </is>
      </c>
      <c r="G10" s="15" t="inlineStr">
        <is>
          <t>进行中</t>
        </is>
      </c>
      <c r="H10" s="6" t="n">
        <v>1</v>
      </c>
      <c r="I10" s="5" t="inlineStr">
        <is>
          <t>-</t>
        </is>
      </c>
      <c r="J10" s="5" t="inlineStr">
        <is>
          <t>评审结论回填 D11 与 ROADMAP</t>
        </is>
      </c>
    </row>
    <row r="11" ht="38" customHeight="1">
      <c r="B11" s="8" t="inlineStr">
        <is>
          <t>A7</t>
        </is>
      </c>
      <c r="C11" s="3" t="inlineStr">
        <is>
          <t>① 前端 Demo</t>
        </is>
      </c>
      <c r="D11" s="3" t="inlineStr">
        <is>
          <t>按评审意见迭代前端</t>
        </is>
      </c>
      <c r="E11" s="3" t="inlineStr">
        <is>
          <t>依据 A6 结论修改 web-demo，直至布局定稿</t>
        </is>
      </c>
      <c r="F11" s="9" t="inlineStr">
        <is>
          <t>P1</t>
        </is>
      </c>
      <c r="G11" s="16" t="inlineStr">
        <is>
          <t>待启动</t>
        </is>
      </c>
      <c r="H11" s="4" t="n">
        <v>2</v>
      </c>
      <c r="I11" s="3" t="inlineStr">
        <is>
          <t>A6</t>
        </is>
      </c>
      <c r="J11" s="3" t="inlineStr"/>
    </row>
    <row r="12" ht="38" customHeight="1">
      <c r="B12" s="11" t="inlineStr">
        <is>
          <t>A8</t>
        </is>
      </c>
      <c r="C12" s="5" t="inlineStr">
        <is>
          <t>① 前端 Demo</t>
        </is>
      </c>
      <c r="D12" s="5" t="inlineStr">
        <is>
          <t>AntD 页签脚本点击问题排查</t>
        </is>
      </c>
      <c r="E12" s="5" t="inlineStr">
        <is>
          <t>locator 可见但 click 超时（人工点击不受影响）；影响自动化回归脚本</t>
        </is>
      </c>
      <c r="F12" s="14" t="inlineStr">
        <is>
          <t>P2</t>
        </is>
      </c>
      <c r="G12" s="14" t="inlineStr">
        <is>
          <t>待启动</t>
        </is>
      </c>
      <c r="H12" s="6" t="n">
        <v>0.5</v>
      </c>
      <c r="I12" s="5" t="inlineStr">
        <is>
          <t>-</t>
        </is>
      </c>
      <c r="J12" s="5" t="inlineStr">
        <is>
          <t>非阻塞</t>
        </is>
      </c>
    </row>
    <row r="13" ht="38" customHeight="1">
      <c r="B13" s="8" t="inlineStr">
        <is>
          <t>A9</t>
        </is>
      </c>
      <c r="C13" s="3" t="inlineStr">
        <is>
          <t>① 前端 Demo</t>
        </is>
      </c>
      <c r="D13" s="3" t="inlineStr">
        <is>
          <t>新建任务/终止/重试交互回归</t>
        </is>
      </c>
      <c r="E13" s="3" t="inlineStr">
        <is>
          <t>Modal 建任务→直播、Popconfirm 终止、降级重试完整链路复测</t>
        </is>
      </c>
      <c r="F13" s="9" t="inlineStr">
        <is>
          <t>P1</t>
        </is>
      </c>
      <c r="G13" s="16" t="inlineStr">
        <is>
          <t>待启动</t>
        </is>
      </c>
      <c r="H13" s="4" t="n">
        <v>0.5</v>
      </c>
      <c r="I13" s="3" t="inlineStr">
        <is>
          <t>A7</t>
        </is>
      </c>
      <c r="J13" s="3" t="inlineStr"/>
    </row>
    <row r="14" ht="38" customHeight="1">
      <c r="B14" s="11" t="inlineStr">
        <is>
          <t>B1</t>
        </is>
      </c>
      <c r="C14" s="5" t="inlineStr">
        <is>
          <t>② 规范文档</t>
        </is>
      </c>
      <c r="D14" s="5" t="inlineStr">
        <is>
          <t>SPEC.md 开发规范总纲</t>
        </is>
      </c>
      <c r="E14" s="5" t="inlineStr">
        <is>
          <t>九条：分层依赖/模型端点/工具规范/Loop/事件流/基准/RAG/前端/Git-CI</t>
        </is>
      </c>
      <c r="F14" s="17" t="inlineStr">
        <is>
          <t>P1</t>
        </is>
      </c>
      <c r="G14" s="10" t="inlineStr">
        <is>
          <t>已完成</t>
        </is>
      </c>
      <c r="H14" s="6" t="n"/>
      <c r="I14" s="5" t="inlineStr">
        <is>
          <t>-</t>
        </is>
      </c>
      <c r="J14" s="5" t="inlineStr">
        <is>
          <t>docs/SPEC.md</t>
        </is>
      </c>
    </row>
    <row r="15" ht="38" customHeight="1">
      <c r="B15" s="8" t="inlineStr">
        <is>
          <t>B2</t>
        </is>
      </c>
      <c r="C15" s="3" t="inlineStr">
        <is>
          <t>② 规范文档</t>
        </is>
      </c>
      <c r="D15" s="3" t="inlineStr">
        <is>
          <t>task-schema.md 任务与 run 目录规范</t>
        </is>
      </c>
      <c r="E15" s="3" t="inlineStr">
        <is>
          <t>整网模型 / 单算子规格双输入 schema；runs/&lt;id&gt;/ 目录结构</t>
        </is>
      </c>
      <c r="F15" s="9" t="inlineStr">
        <is>
          <t>P1</t>
        </is>
      </c>
      <c r="G15" s="10" t="inlineStr">
        <is>
          <t>已完成</t>
        </is>
      </c>
      <c r="H15" s="4" t="n"/>
      <c r="I15" s="3" t="inlineStr">
        <is>
          <t>-</t>
        </is>
      </c>
      <c r="J15" s="3" t="inlineStr">
        <is>
          <t>docs/task-schema.md</t>
        </is>
      </c>
    </row>
    <row r="16" ht="70" customHeight="1">
      <c r="B16" s="11" t="inlineStr">
        <is>
          <t>B3</t>
        </is>
      </c>
      <c r="C16" s="5" t="inlineStr">
        <is>
          <t>② 规范文档</t>
        </is>
      </c>
      <c r="D16" s="5" t="inlineStr">
        <is>
          <t>observability.md 事件流契约</t>
        </is>
      </c>
      <c r="E16" s="5" t="inlineStr">
        <is>
          <t>Event Schema 定稿（stage/tool/iteration/decision/checkpoint/degrade）；append-only 约定；与 demo 同构</t>
        </is>
      </c>
      <c r="F16" s="12" t="inlineStr">
        <is>
          <t>P0</t>
        </is>
      </c>
      <c r="G16" s="10" t="inlineStr">
        <is>
          <t>已完成</t>
        </is>
      </c>
      <c r="H16" s="6" t="n"/>
      <c r="I16" s="5" t="inlineStr">
        <is>
          <t>-</t>
        </is>
      </c>
      <c r="J16" s="5" t="inlineStr">
        <is>
          <t>docs/observability.md</t>
        </is>
      </c>
    </row>
    <row r="17" ht="54" customHeight="1">
      <c r="B17" s="8" t="inlineStr">
        <is>
          <t>B4</t>
        </is>
      </c>
      <c r="C17" s="3" t="inlineStr">
        <is>
          <t>② 规范文档</t>
        </is>
      </c>
      <c r="D17" s="3" t="inlineStr">
        <is>
          <t>benchmark.md 基线测量方法学</t>
        </is>
      </c>
      <c r="E17" s="3" t="inlineStr">
        <is>
          <t>aclnn 单算子基线（排除 ATC）；预热 20/迭代 100/p50/p99/同步点；口径差异说明</t>
        </is>
      </c>
      <c r="F17" s="13" t="inlineStr">
        <is>
          <t>P0</t>
        </is>
      </c>
      <c r="G17" s="18" t="inlineStr">
        <is>
          <t>待讨论</t>
        </is>
      </c>
      <c r="H17" s="4" t="n">
        <v>1</v>
      </c>
      <c r="I17" s="3" t="inlineStr">
        <is>
          <t>D4</t>
        </is>
      </c>
      <c r="J17" s="3" t="inlineStr">
        <is>
          <t>阻塞于 D4 基线口径</t>
        </is>
      </c>
    </row>
    <row r="18" ht="38" customHeight="1">
      <c r="B18" s="11" t="inlineStr">
        <is>
          <t>B5</t>
        </is>
      </c>
      <c r="C18" s="5" t="inlineStr">
        <is>
          <t>② 规范文档</t>
        </is>
      </c>
      <c r="D18" s="5" t="inlineStr">
        <is>
          <t>plugin-dev.md dsh 插件开发规范</t>
        </is>
      </c>
      <c r="E18" s="5" t="inlineStr">
        <is>
          <t>TS 插件生命周期/命名 dsh-cann-*/配置 schema/测试要求</t>
        </is>
      </c>
      <c r="F18" s="12" t="inlineStr">
        <is>
          <t>P0</t>
        </is>
      </c>
      <c r="G18" s="18" t="inlineStr">
        <is>
          <t>待讨论</t>
        </is>
      </c>
      <c r="H18" s="6" t="n">
        <v>1</v>
      </c>
      <c r="I18" s="5" t="inlineStr">
        <is>
          <t>D1,D3</t>
        </is>
      </c>
      <c r="J18" s="5" t="inlineStr">
        <is>
          <t>阻塞于 D1/D3</t>
        </is>
      </c>
    </row>
    <row r="19" ht="54" customHeight="1">
      <c r="B19" s="8" t="inlineStr">
        <is>
          <t>B6</t>
        </is>
      </c>
      <c r="C19" s="3" t="inlineStr">
        <is>
          <t>② 规范文档</t>
        </is>
      </c>
      <c r="D19" s="3" t="inlineStr">
        <is>
          <t>workflow.md 七阶段状态机规范</t>
        </is>
      </c>
      <c r="E19" s="3" t="inlineStr">
        <is>
          <t>identify→…→deliver；预算（时间/token/迭代）；检查点恢复；失败 N 次降级</t>
        </is>
      </c>
      <c r="F19" s="9" t="inlineStr">
        <is>
          <t>P1</t>
        </is>
      </c>
      <c r="G19" s="10" t="inlineStr">
        <is>
          <t>已完成</t>
        </is>
      </c>
      <c r="H19" s="4" t="n"/>
      <c r="I19" s="3" t="inlineStr">
        <is>
          <t>-</t>
        </is>
      </c>
      <c r="J19" s="3" t="inlineStr">
        <is>
          <t>docs/workflow.md</t>
        </is>
      </c>
    </row>
    <row r="20" ht="38" customHeight="1">
      <c r="B20" s="11" t="inlineStr">
        <is>
          <t>B7</t>
        </is>
      </c>
      <c r="C20" s="5" t="inlineStr">
        <is>
          <t>② 规范文档</t>
        </is>
      </c>
      <c r="D20" s="5" t="inlineStr">
        <is>
          <t>rag.md RAG 与经验库规范</t>
        </is>
      </c>
      <c r="E20" s="5" t="inlineStr">
        <is>
          <t>语料三类/检索双路/经验条目 schema/回流机制/质量评估</t>
        </is>
      </c>
      <c r="F20" s="17" t="inlineStr">
        <is>
          <t>P1</t>
        </is>
      </c>
      <c r="G20" s="18" t="inlineStr">
        <is>
          <t>待讨论</t>
        </is>
      </c>
      <c r="H20" s="6" t="n">
        <v>1</v>
      </c>
      <c r="I20" s="5" t="inlineStr">
        <is>
          <t>D5</t>
        </is>
      </c>
      <c r="J20" s="5" t="inlineStr">
        <is>
          <t>阻塞于 D5</t>
        </is>
      </c>
    </row>
    <row r="21" ht="38" customHeight="1">
      <c r="B21" s="8" t="inlineStr">
        <is>
          <t>B8</t>
        </is>
      </c>
      <c r="C21" s="3" t="inlineStr">
        <is>
          <t>② 规范文档</t>
        </is>
      </c>
      <c r="D21" s="3" t="inlineStr">
        <is>
          <t>ADR-001 内核选型记录</t>
        </is>
      </c>
      <c r="E21" s="3" t="inlineStr">
        <is>
          <t>dsh 选型理由、OpenHands/Goose/OpenCode 对比、退出策略</t>
        </is>
      </c>
      <c r="F21" s="13" t="inlineStr">
        <is>
          <t>P0</t>
        </is>
      </c>
      <c r="G21" s="10" t="inlineStr">
        <is>
          <t>已完成</t>
        </is>
      </c>
      <c r="H21" s="4" t="n"/>
      <c r="I21" s="3" t="inlineStr">
        <is>
          <t>-</t>
        </is>
      </c>
      <c r="J21" s="3" t="inlineStr">
        <is>
          <t>docs/adr/ADR-001</t>
        </is>
      </c>
    </row>
    <row r="22" ht="54" customHeight="1">
      <c r="B22" s="11" t="inlineStr">
        <is>
          <t>C1</t>
        </is>
      </c>
      <c r="C22" s="5" t="inlineStr">
        <is>
          <t>③ 完整骨架</t>
        </is>
      </c>
      <c r="D22" s="5" t="inlineStr">
        <is>
          <t>dsh headless 运行 spike</t>
        </is>
      </c>
      <c r="E22" s="5" t="inlineStr">
        <is>
          <t>验证 dsh 无人值守/常驻服务形态可用性（session/loop/scheduling API）</t>
        </is>
      </c>
      <c r="F22" s="12" t="inlineStr">
        <is>
          <t>P0</t>
        </is>
      </c>
      <c r="G22" s="14" t="inlineStr">
        <is>
          <t>待启动</t>
        </is>
      </c>
      <c r="H22" s="6" t="n">
        <v>2</v>
      </c>
      <c r="I22" s="5" t="inlineStr">
        <is>
          <t>-</t>
        </is>
      </c>
      <c r="J22" s="5" t="inlineStr">
        <is>
          <t>关键路径第一环，第一周执行</t>
        </is>
      </c>
    </row>
    <row r="23" ht="38" customHeight="1">
      <c r="B23" s="8" t="inlineStr">
        <is>
          <t>C2</t>
        </is>
      </c>
      <c r="C23" s="3" t="inlineStr">
        <is>
          <t>③ 完整骨架</t>
        </is>
      </c>
      <c r="D23" s="3" t="inlineStr">
        <is>
          <t>dsh 插件事件拦截能力 spike</t>
        </is>
      </c>
      <c r="E23" s="3" t="inlineStr">
        <is>
          <t>验证插件能否在工具调用边界拦截事件生成 events.jsonl（双写可行性）</t>
        </is>
      </c>
      <c r="F23" s="13" t="inlineStr">
        <is>
          <t>P0</t>
        </is>
      </c>
      <c r="G23" s="16" t="inlineStr">
        <is>
          <t>待启动</t>
        </is>
      </c>
      <c r="H23" s="4" t="n">
        <v>3</v>
      </c>
      <c r="I23" s="3" t="inlineStr">
        <is>
          <t>C1</t>
        </is>
      </c>
      <c r="J23" s="3" t="inlineStr">
        <is>
          <t>关键路径；验证 D2</t>
        </is>
      </c>
    </row>
    <row r="24" ht="54" customHeight="1">
      <c r="B24" s="11" t="inlineStr">
        <is>
          <t>C3</t>
        </is>
      </c>
      <c r="C24" s="5" t="inlineStr">
        <is>
          <t>③ 完整骨架</t>
        </is>
      </c>
      <c r="D24" s="5" t="inlineStr">
        <is>
          <t>pnpm workspace + 三插件包骨架</t>
        </is>
      </c>
      <c r="E24" s="5" t="inlineStr">
        <is>
          <t>dsh-cann-tools / dsh-cann-knowledge / dsh-cann-loop 包骨架与适配层</t>
        </is>
      </c>
      <c r="F24" s="17" t="inlineStr">
        <is>
          <t>P1</t>
        </is>
      </c>
      <c r="G24" s="14" t="inlineStr">
        <is>
          <t>待启动</t>
        </is>
      </c>
      <c r="H24" s="6" t="n">
        <v>2</v>
      </c>
      <c r="I24" s="5" t="inlineStr">
        <is>
          <t>C2</t>
        </is>
      </c>
      <c r="J24" s="5" t="inlineStr"/>
    </row>
    <row r="25" ht="38" customHeight="1">
      <c r="B25" s="8" t="inlineStr">
        <is>
          <t>C4</t>
        </is>
      </c>
      <c r="C25" s="3" t="inlineStr">
        <is>
          <t>③ 完整骨架</t>
        </is>
      </c>
      <c r="D25" s="3" t="inlineStr">
        <is>
          <t>python/cannagent 骨架</t>
        </is>
      </c>
      <c r="E25" s="3" t="inlineStr">
        <is>
          <t>cli.py + config.py(pydantic-settings) + events.py；uv 管理</t>
        </is>
      </c>
      <c r="F25" s="9" t="inlineStr">
        <is>
          <t>P1</t>
        </is>
      </c>
      <c r="G25" s="16" t="inlineStr">
        <is>
          <t>待启动</t>
        </is>
      </c>
      <c r="H25" s="4" t="n">
        <v>2</v>
      </c>
      <c r="I25" s="3" t="inlineStr">
        <is>
          <t>-</t>
        </is>
      </c>
      <c r="J25" s="3" t="inlineStr"/>
    </row>
    <row r="26" ht="38" customHeight="1">
      <c r="B26" s="11" t="inlineStr">
        <is>
          <t>C5</t>
        </is>
      </c>
      <c r="C26" s="5" t="inlineStr">
        <is>
          <t>③ 完整骨架</t>
        </is>
      </c>
      <c r="D26" s="5" t="inlineStr">
        <is>
          <t>build 编译工具端到端打通</t>
        </is>
      </c>
      <c r="E26" s="5" t="inlineStr">
        <is>
          <t>TS 插件→spawn Python→CANN 工具链编译；JSON stdout/超时/错误码协议</t>
        </is>
      </c>
      <c r="F26" s="12" t="inlineStr">
        <is>
          <t>P0</t>
        </is>
      </c>
      <c r="G26" s="14" t="inlineStr">
        <is>
          <t>待启动</t>
        </is>
      </c>
      <c r="H26" s="6" t="n">
        <v>3</v>
      </c>
      <c r="I26" s="5" t="inlineStr">
        <is>
          <t>C3,C4</t>
        </is>
      </c>
      <c r="J26" s="5" t="inlineStr">
        <is>
          <t>里程碑：首个真实工具跑通</t>
        </is>
      </c>
    </row>
    <row r="27" ht="54" customHeight="1">
      <c r="B27" s="8" t="inlineStr">
        <is>
          <t>C6</t>
        </is>
      </c>
      <c r="C27" s="3" t="inlineStr">
        <is>
          <t>③ 完整骨架</t>
        </is>
      </c>
      <c r="D27" s="3" t="inlineStr">
        <is>
          <t>RAG 最小实现</t>
        </is>
      </c>
      <c r="E27" s="3" t="inlineStr">
        <is>
          <t>sqlite-vec + BGE-M3 + retrieve(query,top_k,filter) + 经验条目读写</t>
        </is>
      </c>
      <c r="F27" s="9" t="inlineStr">
        <is>
          <t>P1</t>
        </is>
      </c>
      <c r="G27" s="16" t="inlineStr">
        <is>
          <t>待启动</t>
        </is>
      </c>
      <c r="H27" s="4" t="n">
        <v>3</v>
      </c>
      <c r="I27" s="3" t="inlineStr">
        <is>
          <t>B7</t>
        </is>
      </c>
      <c r="J27" s="3" t="inlineStr">
        <is>
          <t>embedding 在昇腾卡上跑</t>
        </is>
      </c>
    </row>
    <row r="28" ht="38" customHeight="1">
      <c r="B28" s="11" t="inlineStr">
        <is>
          <t>C7</t>
        </is>
      </c>
      <c r="C28" s="5" t="inlineStr">
        <is>
          <t>③ 完整骨架</t>
        </is>
      </c>
      <c r="D28" s="5" t="inlineStr">
        <is>
          <t>FastAPI 观测服务</t>
        </is>
      </c>
      <c r="E28" s="5" t="inlineStr">
        <is>
          <t>runs 列表/事件 SSE/产物 API；tail events.jsonl；OpenAPI 契约先行</t>
        </is>
      </c>
      <c r="F28" s="17" t="inlineStr">
        <is>
          <t>P1</t>
        </is>
      </c>
      <c r="G28" s="14" t="inlineStr">
        <is>
          <t>待启动</t>
        </is>
      </c>
      <c r="H28" s="6" t="n">
        <v>2</v>
      </c>
      <c r="I28" s="5" t="inlineStr">
        <is>
          <t>B3</t>
        </is>
      </c>
      <c r="J28" s="5" t="inlineStr"/>
    </row>
    <row r="29" ht="38" customHeight="1">
      <c r="B29" s="8" t="inlineStr">
        <is>
          <t>C8</t>
        </is>
      </c>
      <c r="C29" s="3" t="inlineStr">
        <is>
          <t>③ 完整骨架</t>
        </is>
      </c>
      <c r="D29" s="3" t="inlineStr">
        <is>
          <t>web/ 真实 dashboard</t>
        </is>
      </c>
      <c r="E29" s="3" t="inlineStr">
        <is>
          <t>demo 演进：模拟 store 替换为真实 SSE/API；回放=全量重读</t>
        </is>
      </c>
      <c r="F29" s="9" t="inlineStr">
        <is>
          <t>P1</t>
        </is>
      </c>
      <c r="G29" s="16" t="inlineStr">
        <is>
          <t>待启动</t>
        </is>
      </c>
      <c r="H29" s="4" t="n">
        <v>3</v>
      </c>
      <c r="I29" s="3" t="inlineStr">
        <is>
          <t>C7,A7</t>
        </is>
      </c>
      <c r="J29" s="3" t="inlineStr"/>
    </row>
    <row r="30" ht="54" customHeight="1">
      <c r="B30" s="11" t="inlineStr">
        <is>
          <t>C9</t>
        </is>
      </c>
      <c r="C30" s="5" t="inlineStr">
        <is>
          <t>③ 完整骨架</t>
        </is>
      </c>
      <c r="D30" s="5" t="inlineStr">
        <is>
          <t>profiles/ 三协议端点配置</t>
        </is>
      </c>
      <c r="E30" s="5" t="inlineStr">
        <is>
          <t>anthropic-messages→GLM、openai-completions→DeepSeek、openai-responses 示例；apiKeyEnv 约定</t>
        </is>
      </c>
      <c r="F30" s="14" t="inlineStr">
        <is>
          <t>P2</t>
        </is>
      </c>
      <c r="G30" s="14" t="inlineStr">
        <is>
          <t>待启动</t>
        </is>
      </c>
      <c r="H30" s="6" t="n">
        <v>0.5</v>
      </c>
      <c r="I30" s="5" t="inlineStr">
        <is>
          <t>-</t>
        </is>
      </c>
      <c r="J30" s="5" t="inlineStr"/>
    </row>
    <row r="31" ht="38" customHeight="1">
      <c r="B31" s="8" t="inlineStr">
        <is>
          <t>C10</t>
        </is>
      </c>
      <c r="C31" s="3" t="inlineStr">
        <is>
          <t>③ 完整骨架</t>
        </is>
      </c>
      <c r="D31" s="3" t="inlineStr">
        <is>
          <t>skills/ 领域技能首版</t>
        </is>
      </c>
      <c r="E31" s="3" t="inlineStr">
        <is>
          <t>算子开发指南/融合模式手册（静态方法论，与 RAG 分工）</t>
        </is>
      </c>
      <c r="F31" s="16" t="inlineStr">
        <is>
          <t>P2</t>
        </is>
      </c>
      <c r="G31" s="16" t="inlineStr">
        <is>
          <t>待启动</t>
        </is>
      </c>
      <c r="H31" s="4" t="n">
        <v>2</v>
      </c>
      <c r="I31" s="3" t="inlineStr">
        <is>
          <t>-</t>
        </is>
      </c>
      <c r="J31" s="3" t="inlineStr"/>
    </row>
    <row r="32" ht="38" customHeight="1">
      <c r="B32" s="11" t="inlineStr">
        <is>
          <t>C11</t>
        </is>
      </c>
      <c r="C32" s="5" t="inlineStr">
        <is>
          <t>③ 完整骨架</t>
        </is>
      </c>
      <c r="D32" s="5" t="inlineStr">
        <is>
          <t>权限沙箱与命令白名单</t>
        </is>
      </c>
      <c r="E32" s="5" t="inlineStr">
        <is>
          <t>workspace/runs 目录隔离、dsh hooks 拦截、CANN 环境固定</t>
        </is>
      </c>
      <c r="F32" s="17" t="inlineStr">
        <is>
          <t>P1</t>
        </is>
      </c>
      <c r="G32" s="18" t="inlineStr">
        <is>
          <t>待讨论</t>
        </is>
      </c>
      <c r="H32" s="6" t="n">
        <v>2</v>
      </c>
      <c r="I32" s="5" t="inlineStr">
        <is>
          <t>D8</t>
        </is>
      </c>
      <c r="J32" s="5" t="inlineStr">
        <is>
          <t>阻塞于 D8</t>
        </is>
      </c>
    </row>
    <row r="33" ht="38" customHeight="1">
      <c r="B33" s="8" t="inlineStr">
        <is>
          <t>E1</t>
        </is>
      </c>
      <c r="C33" s="3" t="inlineStr">
        <is>
          <t>④ 测试与部署</t>
        </is>
      </c>
      <c r="D33" s="3" t="inlineStr">
        <is>
          <t>vitest + pytest 测试样板</t>
        </is>
      </c>
      <c r="E33" s="3" t="inlineStr">
        <is>
          <t>TS 插件与 Python 领域层单测样板；覆盖率门槛写入 SPEC</t>
        </is>
      </c>
      <c r="F33" s="9" t="inlineStr">
        <is>
          <t>P1</t>
        </is>
      </c>
      <c r="G33" s="16" t="inlineStr">
        <is>
          <t>待启动</t>
        </is>
      </c>
      <c r="H33" s="4" t="n">
        <v>1</v>
      </c>
      <c r="I33" s="3" t="inlineStr">
        <is>
          <t>-</t>
        </is>
      </c>
      <c r="J33" s="3" t="inlineStr"/>
    </row>
    <row r="34" ht="38" customHeight="1">
      <c r="B34" s="11" t="inlineStr">
        <is>
          <t>E2</t>
        </is>
      </c>
      <c r="C34" s="5" t="inlineStr">
        <is>
          <t>④ 测试与部署</t>
        </is>
      </c>
      <c r="D34" s="5" t="inlineStr">
        <is>
          <t>golden 回归集与官方基线固化</t>
        </is>
      </c>
      <c r="E34" s="5" t="inlineStr">
        <is>
          <t>resnet50 官方基线数据固化；golden 用例准入标准</t>
        </is>
      </c>
      <c r="F34" s="17" t="inlineStr">
        <is>
          <t>P1</t>
        </is>
      </c>
      <c r="G34" s="14" t="inlineStr">
        <is>
          <t>待启动</t>
        </is>
      </c>
      <c r="H34" s="6" t="n">
        <v>2</v>
      </c>
      <c r="I34" s="5" t="inlineStr">
        <is>
          <t>B4</t>
        </is>
      </c>
      <c r="J34" s="5" t="inlineStr"/>
    </row>
    <row r="35" ht="38" customHeight="1">
      <c r="B35" s="8" t="inlineStr">
        <is>
          <t>E3</t>
        </is>
      </c>
      <c r="C35" s="3" t="inlineStr">
        <is>
          <t>④ 测试与部署</t>
        </is>
      </c>
      <c r="D35" s="3" t="inlineStr">
        <is>
          <t>CI 流水线</t>
        </is>
      </c>
      <c r="E35" s="3" t="inlineStr">
        <is>
          <t>eslint+tsc+vitest / ruff+mypy+pytest / web build；报告卡点</t>
        </is>
      </c>
      <c r="F35" s="16" t="inlineStr">
        <is>
          <t>P2</t>
        </is>
      </c>
      <c r="G35" s="18" t="inlineStr">
        <is>
          <t>待讨论</t>
        </is>
      </c>
      <c r="H35" s="4" t="n">
        <v>1</v>
      </c>
      <c r="I35" s="3" t="inlineStr">
        <is>
          <t>D10</t>
        </is>
      </c>
      <c r="J35" s="3" t="inlineStr">
        <is>
          <t>阻塞于 D10</t>
        </is>
      </c>
    </row>
    <row r="36" ht="38" customHeight="1">
      <c r="B36" s="11" t="inlineStr">
        <is>
          <t>E4</t>
        </is>
      </c>
      <c r="C36" s="5" t="inlineStr">
        <is>
          <t>④ 测试与部署</t>
        </is>
      </c>
      <c r="D36" s="5" t="inlineStr">
        <is>
          <t>README 与部署文档</t>
        </is>
      </c>
      <c r="E36" s="5" t="inlineStr">
        <is>
          <t>快速开始 + 昇腾服务器部署（dsh/python/web 进程布局）</t>
        </is>
      </c>
      <c r="F36" s="14" t="inlineStr">
        <is>
          <t>P2</t>
        </is>
      </c>
      <c r="G36" s="14" t="inlineStr">
        <is>
          <t>待启动</t>
        </is>
      </c>
      <c r="H36" s="6" t="n">
        <v>1</v>
      </c>
      <c r="I36" s="5" t="inlineStr">
        <is>
          <t>-</t>
        </is>
      </c>
      <c r="J36" s="5" t="inlineStr"/>
    </row>
    <row r="37" ht="38" customHeight="1">
      <c r="B37" s="8" t="inlineStr">
        <is>
          <t>E5</t>
        </is>
      </c>
      <c r="C37" s="3" t="inlineStr">
        <is>
          <t>④ 测试与部署</t>
        </is>
      </c>
      <c r="D37" s="3" t="inlineStr">
        <is>
          <t>敏感信息迁出</t>
        </is>
      </c>
      <c r="E37" s="3" t="inlineStr">
        <is>
          <t>环境.txt 明文密码迁至 .env/密管；仓库加 .gitignore 校验</t>
        </is>
      </c>
      <c r="F37" s="13" t="inlineStr">
        <is>
          <t>P0</t>
        </is>
      </c>
      <c r="G37" s="15" t="inlineStr">
        <is>
          <t>进行中</t>
        </is>
      </c>
      <c r="H37" s="4" t="n">
        <v>0.2</v>
      </c>
      <c r="I37" s="3" t="inlineStr">
        <is>
          <t>-</t>
        </is>
      </c>
      <c r="J37" s="3" t="inlineStr">
        <is>
          <t>.gitignore/.env.example 已加，密码迁移待用户操作</t>
        </is>
      </c>
    </row>
    <row r="38" ht="26" customHeight="1">
      <c r="B38" s="19" t="inlineStr">
        <is>
          <t>合计</t>
        </is>
      </c>
      <c r="C38" s="19" t="n"/>
      <c r="D38" s="19" t="inlineStr">
        <is>
          <t>剩余预估人日（未完成任务）→</t>
        </is>
      </c>
      <c r="E38" s="19" t="n"/>
      <c r="F38" s="19" t="n"/>
      <c r="G38" s="19" t="n"/>
      <c r="H38" s="20">
        <f>SUM(H5:H37)</f>
        <v/>
      </c>
      <c r="I38" s="19" t="n"/>
      <c r="J38" s="19" t="n"/>
    </row>
  </sheetData>
  <mergeCells count="1"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9.6" customWidth="1" min="3" max="3"/>
    <col width="36" customWidth="1" min="4" max="4"/>
    <col width="36" customWidth="1" min="5" max="5"/>
    <col width="33" customWidth="1" min="6" max="6"/>
    <col width="8" customWidth="1" min="7" max="7"/>
    <col width="10" customWidth="1" min="8" max="8"/>
  </cols>
  <sheetData>
    <row r="1" ht="15" customHeight="1"/>
    <row r="2" ht="32" customHeight="1">
      <c r="B2" s="1" t="inlineStr">
        <is>
          <t>待拍板决策项（grill 讨论清单）</t>
        </is>
      </c>
    </row>
    <row r="3" ht="8" customHeight="1"/>
    <row r="4" ht="28" customHeight="1">
      <c r="B4" s="2" t="inlineStr">
        <is>
          <t>编号</t>
        </is>
      </c>
      <c r="C4" s="2" t="inlineStr">
        <is>
          <t>决策点</t>
        </is>
      </c>
      <c r="D4" s="2" t="inlineStr">
        <is>
          <t>默认方案 / 当前立场</t>
        </is>
      </c>
      <c r="E4" s="2" t="inlineStr">
        <is>
          <t>待确认问题</t>
        </is>
      </c>
      <c r="F4" s="2" t="inlineStr">
        <is>
          <t>影响范围</t>
        </is>
      </c>
      <c r="G4" s="2" t="inlineStr">
        <is>
          <t>状态</t>
        </is>
      </c>
      <c r="H4" s="2" t="inlineStr">
        <is>
          <t>关联任务</t>
        </is>
      </c>
    </row>
    <row r="5" ht="38" customHeight="1">
      <c r="B5" s="8" t="inlineStr">
        <is>
          <t>D1</t>
        </is>
      </c>
      <c r="C5" s="3" t="inlineStr">
        <is>
          <t>dsh 内核形态与后路</t>
        </is>
      </c>
      <c r="D5" s="3" t="inlineStr">
        <is>
          <t>headless 常驻服务 + 自建适配层收敛 dsh API，保留 OpenHands 退出路径</t>
        </is>
      </c>
      <c r="E5" s="3" t="inlineStr">
        <is>
          <t>是否接受适配层双倍维护成本，还是锁死 dsh 不留后路（省一层抽象）</t>
        </is>
      </c>
      <c r="F5" s="3" t="inlineStr">
        <is>
          <t>全部插件、架构分层</t>
        </is>
      </c>
      <c r="G5" s="18" t="inlineStr">
        <is>
          <t>待拍板</t>
        </is>
      </c>
      <c r="H5" s="3" t="inlineStr">
        <is>
          <t>B5/C1/C3</t>
        </is>
      </c>
    </row>
    <row r="6" ht="38" customHeight="1">
      <c r="B6" s="11" t="inlineStr">
        <is>
          <t>D2</t>
        </is>
      </c>
      <c r="C6" s="5" t="inlineStr">
        <is>
          <t>事件流双写可行性</t>
        </is>
      </c>
      <c r="D6" s="5" t="inlineStr">
        <is>
          <t>dsh session log 作原始取证 + 插件边界写 events.jsonl 作前端数据源</t>
        </is>
      </c>
      <c r="E6" s="5" t="inlineStr">
        <is>
          <t>dsh 插件 API 能否拦截全部工具调用与 loop 事件（C2 spike 验证）</t>
        </is>
      </c>
      <c r="F6" s="5" t="inlineStr">
        <is>
          <t>可追溯性、前端、observability 契约</t>
        </is>
      </c>
      <c r="G6" s="18" t="inlineStr">
        <is>
          <t>待拍板</t>
        </is>
      </c>
      <c r="H6" s="5" t="inlineStr">
        <is>
          <t>B3/C2/C7</t>
        </is>
      </c>
    </row>
    <row r="7" ht="38" customHeight="1">
      <c r="B7" s="8" t="inlineStr">
        <is>
          <t>D3</t>
        </is>
      </c>
      <c r="C7" s="3" t="inlineStr">
        <is>
          <t>工具进程边界</t>
        </is>
      </c>
      <c r="D7" s="3" t="inlineStr">
        <is>
          <t>TS 插件 spawn Python CLI（JSON stdout + 超时 + 退出码）</t>
        </is>
      </c>
      <c r="E7" s="3" t="inlineStr">
        <is>
          <t>是否改走 MCP 换取跨 harness 工具复用（代价：协议层/错误传播变钝）</t>
        </is>
      </c>
      <c r="F7" s="3" t="inlineStr">
        <is>
          <t>tools 插件、python 领域层接口形态</t>
        </is>
      </c>
      <c r="G7" s="18" t="inlineStr">
        <is>
          <t>待拍板</t>
        </is>
      </c>
      <c r="H7" s="3" t="inlineStr">
        <is>
          <t>B5/C4/C5</t>
        </is>
      </c>
    </row>
    <row r="8" ht="54" customHeight="1">
      <c r="B8" s="11" t="inlineStr">
        <is>
          <t>D4</t>
        </is>
      </c>
      <c r="C8" s="5" t="inlineStr">
        <is>
          <t>基线口径（ATC 排除）</t>
        </is>
      </c>
      <c r="D8" s="5" t="inlineStr">
        <is>
          <t>aclnn 单算子接口调官方算子库（天然无 ATC 图融合）；预热20/迭代100/p50/p99</t>
        </is>
      </c>
      <c r="E8" s="5" t="inlineStr">
        <is>
          <t>官方基线选 aclnn 还是 torch_npu；与整网收益的口径差异是否在报告明示</t>
        </is>
      </c>
      <c r="F8" s="5" t="inlineStr">
        <is>
          <t>benchmark 工具、报告、golden 基线</t>
        </is>
      </c>
      <c r="G8" s="18" t="inlineStr">
        <is>
          <t>待拍板</t>
        </is>
      </c>
      <c r="H8" s="5" t="inlineStr">
        <is>
          <t>B4/E2</t>
        </is>
      </c>
    </row>
    <row r="9" ht="38" customHeight="1">
      <c r="B9" s="8" t="inlineStr">
        <is>
          <t>D5</t>
        </is>
      </c>
      <c r="C9" s="3" t="inlineStr">
        <is>
          <t>RAG 经验质量机制</t>
        </is>
      </c>
      <c r="D9" s="3" t="inlineStr">
        <is>
          <t>经验条目结构化 schema（问题/根因/方案/复用条件/结果）+ 字段与向量双路检索</t>
        </is>
      </c>
      <c r="E9" s="3" t="inlineStr">
        <is>
          <t>agent 写经验质量参差：是否加 schema 校验 + 人工抽检机制</t>
        </is>
      </c>
      <c r="F9" s="3" t="inlineStr">
        <is>
          <t>knowledge 插件、经验库</t>
        </is>
      </c>
      <c r="G9" s="18" t="inlineStr">
        <is>
          <t>待拍板</t>
        </is>
      </c>
      <c r="H9" s="3" t="inlineStr">
        <is>
          <t>B7/C6</t>
        </is>
      </c>
    </row>
    <row r="10" ht="38" customHeight="1">
      <c r="B10" s="11" t="inlineStr">
        <is>
          <t>D6</t>
        </is>
      </c>
      <c r="C10" s="5" t="inlineStr">
        <is>
          <t>NPU 资源调度</t>
        </is>
      </c>
      <c r="D10" s="5" t="inlineStr">
        <is>
          <t>第一版简单队列：一个 run 独占一张卡，loop/scheduling 插件管排队</t>
        </is>
      </c>
      <c r="E10" s="5" t="inlineStr">
        <is>
          <t>服务器可用卡数？队列是否需持久化（重启不丢任务）</t>
        </is>
      </c>
      <c r="F10" s="5" t="inlineStr">
        <is>
          <t>loop/scheduling 插件、并发度</t>
        </is>
      </c>
      <c r="G10" s="18" t="inlineStr">
        <is>
          <t>待拍板</t>
        </is>
      </c>
      <c r="H10" s="5" t="inlineStr">
        <is>
          <t>C3/C11</t>
        </is>
      </c>
    </row>
    <row r="11" ht="54" customHeight="1">
      <c r="B11" s="8" t="inlineStr">
        <is>
          <t>D7</t>
        </is>
      </c>
      <c r="C11" s="3" t="inlineStr">
        <is>
          <t>dsh 版本锁定与升级</t>
        </is>
      </c>
      <c r="D11" s="3" t="inlineStr">
        <is>
          <t>锁定版本 + 升级走 ADR + 适配层测试基线（developer preview 有 breaking changes）</t>
        </is>
      </c>
      <c r="E11" s="3" t="inlineStr">
        <is>
          <t>跟随节奏：每 release / 每季度 / 仅按需</t>
        </is>
      </c>
      <c r="F11" s="3" t="inlineStr">
        <is>
          <t>稳定性、维护节奏</t>
        </is>
      </c>
      <c r="G11" s="18" t="inlineStr">
        <is>
          <t>待拍板</t>
        </is>
      </c>
      <c r="H11" s="3" t="inlineStr">
        <is>
          <t>B8/C3</t>
        </is>
      </c>
    </row>
    <row r="12" ht="38" customHeight="1">
      <c r="B12" s="11" t="inlineStr">
        <is>
          <t>D8</t>
        </is>
      </c>
      <c r="C12" s="5" t="inlineStr">
        <is>
          <t>权限与沙箱边界</t>
        </is>
      </c>
      <c r="D12" s="5" t="inlineStr">
        <is>
          <t>workspace/runs 目录隔离 + dsh hooks 命令白名单 + CANN 环境变量固定</t>
        </is>
      </c>
      <c r="E12" s="5" t="inlineStr">
        <is>
          <t>白名单范围（msbuild/cmake/acl 系列之外）；是否需要容器级隔离</t>
        </is>
      </c>
      <c r="F12" s="5" t="inlineStr">
        <is>
          <t>安全、服务器稳定性</t>
        </is>
      </c>
      <c r="G12" s="18" t="inlineStr">
        <is>
          <t>待拍板</t>
        </is>
      </c>
      <c r="H12" s="5" t="inlineStr">
        <is>
          <t>C11</t>
        </is>
      </c>
    </row>
    <row r="13" ht="38" customHeight="1">
      <c r="B13" s="8" t="inlineStr">
        <is>
          <t>D9</t>
        </is>
      </c>
      <c r="C13" s="3" t="inlineStr">
        <is>
          <t>部署拓扑</t>
        </is>
      </c>
      <c r="D13" s="3" t="inlineStr">
        <is>
          <t>dsh + python 服务同机（昇腾服务器）；dashboard 独立进程可远程访问</t>
        </is>
      </c>
      <c r="E13" s="3" t="inlineStr">
        <is>
          <t>进程/端口布局；外部访问与鉴权方案</t>
        </is>
      </c>
      <c r="F13" s="3" t="inlineStr">
        <is>
          <t>部署、网络、运维</t>
        </is>
      </c>
      <c r="G13" s="18" t="inlineStr">
        <is>
          <t>待拍板</t>
        </is>
      </c>
      <c r="H13" s="3" t="inlineStr">
        <is>
          <t>C7/C8/E4</t>
        </is>
      </c>
    </row>
    <row r="14" ht="54" customHeight="1">
      <c r="B14" s="11" t="inlineStr">
        <is>
          <t>D10</t>
        </is>
      </c>
      <c r="C14" s="5" t="inlineStr">
        <is>
          <t>CI 细节</t>
        </is>
      </c>
      <c r="D14" s="5" t="inlineStr">
        <is>
          <t>trunk-based + conventional commits；CI 双语言 lint/test + web build</t>
        </is>
      </c>
      <c r="E14" s="5" t="inlineStr">
        <is>
          <t>golden 准入标准、报告卡点规则</t>
        </is>
      </c>
      <c r="F14" s="5" t="inlineStr">
        <is>
          <t>工程质量、协作</t>
        </is>
      </c>
      <c r="G14" s="18" t="inlineStr">
        <is>
          <t>待拍板</t>
        </is>
      </c>
      <c r="H14" s="5" t="inlineStr">
        <is>
          <t>E2/E3</t>
        </is>
      </c>
    </row>
    <row r="15" ht="38" customHeight="1">
      <c r="B15" s="8" t="inlineStr">
        <is>
          <t>D11</t>
        </is>
      </c>
      <c r="C15" s="3" t="inlineStr">
        <is>
          <t>前端布局与交互定稿</t>
        </is>
      </c>
      <c r="D15" s="3" t="inlineStr">
        <is>
          <t>仪表盘 + 下钻三栏 v1（web-demo 可看，明暗双主题/直播回放已验证）</t>
        </is>
      </c>
      <c r="E15" s="3" t="inlineStr">
        <is>
          <t>逐项 grill 后定稿：布局形态/信息密度/时间线粒度/倍速档位</t>
        </is>
      </c>
      <c r="F15" s="3" t="inlineStr">
        <is>
          <t>web-demo、web/ 真实 dashboard</t>
        </is>
      </c>
      <c r="G15" s="18" t="inlineStr">
        <is>
          <t>待拍板</t>
        </is>
      </c>
      <c r="H15" s="3" t="inlineStr">
        <is>
          <t>A6/A7/C8</t>
        </is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2026-09-15T15:57:52Z</dcterms:created>
  <dcterms:modified xmlns:dcterms="http://purl.org/dc/terms/" xmlns:xsi="http://www.w3.org/2001/XMLSchema-instance" xsi:type="dcterms:W3CDTF">2026-09-15T15:57:52Z</dcterms:modified>
</cp:coreProperties>
</file>